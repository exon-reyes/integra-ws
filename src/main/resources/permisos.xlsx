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on\backend\sci\api-integra\src\main\resources\"/>
    </mc:Choice>
  </mc:AlternateContent>
  <xr:revisionPtr revIDLastSave="0" documentId="13_ncr:1_{C2280D76-74F7-4C33-88A7-6D11E32A9BF6}" xr6:coauthVersionLast="47" xr6:coauthVersionMax="47" xr10:uidLastSave="{00000000-0000-0000-0000-000000000000}"/>
  <bookViews>
    <workbookView xWindow="-120" yWindow="-120" windowWidth="29040" windowHeight="15990" xr2:uid="{A2242BE7-0960-48D7-B68A-21314E37B16D}"/>
  </bookViews>
  <sheets>
    <sheet name="Hoja1" sheetId="1" r:id="rId1"/>
    <sheet name="GENERALES" sheetId="2" r:id="rId2"/>
  </sheets>
  <definedNames>
    <definedName name="_xlnm._FilterDatabase" localSheetId="1" hidden="1">GENERALES!$B$2:$K$33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47" i="1"/>
  <c r="G49" i="1"/>
  <c r="G51" i="1"/>
  <c r="G53" i="1"/>
  <c r="H15" i="2"/>
  <c r="G33" i="2"/>
  <c r="G32" i="2"/>
  <c r="H31" i="2"/>
  <c r="G31" i="2"/>
  <c r="G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7" i="2"/>
  <c r="H6" i="2"/>
  <c r="H5" i="2"/>
  <c r="H4" i="2"/>
  <c r="H3" i="2"/>
  <c r="G25" i="1"/>
  <c r="G27" i="1"/>
  <c r="G21" i="1"/>
  <c r="G13" i="1"/>
  <c r="G14" i="1"/>
  <c r="G15" i="1"/>
  <c r="G16" i="1"/>
  <c r="G17" i="1"/>
  <c r="G18" i="1"/>
  <c r="G19" i="1"/>
  <c r="G20" i="1"/>
  <c r="G22" i="1"/>
  <c r="G23" i="1"/>
  <c r="G24" i="1"/>
  <c r="G26" i="1"/>
  <c r="G28" i="1"/>
  <c r="G29" i="1"/>
  <c r="G3" i="1"/>
  <c r="G4" i="1"/>
  <c r="G5" i="1"/>
  <c r="G10" i="1"/>
  <c r="G11" i="1"/>
  <c r="G12" i="1"/>
  <c r="G6" i="1"/>
  <c r="G31" i="1"/>
  <c r="G30" i="1"/>
  <c r="G32" i="1"/>
  <c r="G33" i="1"/>
  <c r="G2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8" i="1"/>
  <c r="G50" i="1"/>
  <c r="G52" i="1"/>
  <c r="G54" i="1"/>
  <c r="H9" i="2" l="1"/>
  <c r="H30" i="2"/>
  <c r="H33" i="2"/>
  <c r="H11" i="2"/>
  <c r="H12" i="2"/>
  <c r="H10" i="2"/>
  <c r="H13" i="2"/>
  <c r="H14" i="2"/>
  <c r="H8" i="2"/>
  <c r="H32" i="2"/>
</calcChain>
</file>

<file path=xl/sharedStrings.xml><?xml version="1.0" encoding="utf-8"?>
<sst xmlns="http://schemas.openxmlformats.org/spreadsheetml/2006/main" count="544" uniqueCount="107">
  <si>
    <t>MODULO</t>
  </si>
  <si>
    <t>DESCRIPCIÓN</t>
  </si>
  <si>
    <t>SUBMODULO</t>
  </si>
  <si>
    <t>Unidades</t>
  </si>
  <si>
    <t>Generales</t>
  </si>
  <si>
    <t>Eliminar unidad</t>
  </si>
  <si>
    <t>Consultar contacto</t>
  </si>
  <si>
    <t>NOMBRE PERMISO</t>
  </si>
  <si>
    <t>Gestión RRHH</t>
  </si>
  <si>
    <t>Acceso al módulo</t>
  </si>
  <si>
    <t>Consultar unidades</t>
  </si>
  <si>
    <t>Empleados</t>
  </si>
  <si>
    <t>Informe de asistencia</t>
  </si>
  <si>
    <t>Consultar informe</t>
  </si>
  <si>
    <t>Consultar informe de asistencia de empleados</t>
  </si>
  <si>
    <t>Restringir consulta a supervisor</t>
  </si>
  <si>
    <t>Restringe filtros de consulta a puesto de supervisores</t>
  </si>
  <si>
    <t>Config. OPENTIME</t>
  </si>
  <si>
    <t>INFRAESTRUCTURA TI</t>
  </si>
  <si>
    <t>PK CONCAT</t>
  </si>
  <si>
    <t>ACCION</t>
  </si>
  <si>
    <t>Visualización del submodulo</t>
  </si>
  <si>
    <t>Visualización del módulo</t>
  </si>
  <si>
    <t>Permite agregar una nueva zona</t>
  </si>
  <si>
    <t>Crear zona</t>
  </si>
  <si>
    <t>Editar zona</t>
  </si>
  <si>
    <t>Permite editar la información de la zona</t>
  </si>
  <si>
    <t>Eliminar zona</t>
  </si>
  <si>
    <t xml:space="preserve">Permite eliminar la zona </t>
  </si>
  <si>
    <t>Desactivar zona</t>
  </si>
  <si>
    <t>Permite desactivar una zona</t>
  </si>
  <si>
    <t>Zona</t>
  </si>
  <si>
    <t>Editar unidad</t>
  </si>
  <si>
    <t>Editar información general de la unidad</t>
  </si>
  <si>
    <t>Exportar empleados</t>
  </si>
  <si>
    <t>Permitir exportar empleados</t>
  </si>
  <si>
    <t>Filtrar consulta supervisor</t>
  </si>
  <si>
    <t>Exportar asistencia</t>
  </si>
  <si>
    <t>Exportar lista de asistencia</t>
  </si>
  <si>
    <t>SELECT</t>
  </si>
  <si>
    <t>VIEW</t>
  </si>
  <si>
    <t>UPDATE</t>
  </si>
  <si>
    <t>CREATE</t>
  </si>
  <si>
    <t>DELETE</t>
  </si>
  <si>
    <t>RESTRICT</t>
  </si>
  <si>
    <t>EXPORT</t>
  </si>
  <si>
    <t>Acceso al submódulo</t>
  </si>
  <si>
    <t>Consultar configuración</t>
  </si>
  <si>
    <t>Visualizar parametros de configuración para las unidades</t>
  </si>
  <si>
    <t>Activar/Desactivar camara</t>
  </si>
  <si>
    <t>Puede activar o desactivar el uso de camara web</t>
  </si>
  <si>
    <t>Modificar tiempos de compensación</t>
  </si>
  <si>
    <t>Puede modificar tiempos de compensación a las unidades</t>
  </si>
  <si>
    <t>Aprobar config. Personalizada</t>
  </si>
  <si>
    <t>Puede aprobar solicitudes de configuración personalizada</t>
  </si>
  <si>
    <t>Consultar indicadores</t>
  </si>
  <si>
    <t>Puede visualizar indicadores generales de uso</t>
  </si>
  <si>
    <t>Visuallizar indicadores generales</t>
  </si>
  <si>
    <t>Visualizar indicadores de empleados activos, inactivos, reingresos</t>
  </si>
  <si>
    <t>Compensaciones</t>
  </si>
  <si>
    <t>Ver compensaciones aplicadas</t>
  </si>
  <si>
    <t>Visualizar compensaciones aplicadas a empleados</t>
  </si>
  <si>
    <t>Exportar información</t>
  </si>
  <si>
    <t>Exportar lista de compensaciones aplicadas</t>
  </si>
  <si>
    <t>Acceso a reloj Checador</t>
  </si>
  <si>
    <t>Acceso directo al módulo checador.</t>
  </si>
  <si>
    <t>Reloj Checador</t>
  </si>
  <si>
    <t>Gestión de roles</t>
  </si>
  <si>
    <t>Visualiza los roles y los permisos asociados</t>
  </si>
  <si>
    <t>Eliminar roles creados por el usuario</t>
  </si>
  <si>
    <t>Puede editar roles y sus permisos asociados</t>
  </si>
  <si>
    <t>Crear nuevos roles</t>
  </si>
  <si>
    <t>Gestión de usuarios</t>
  </si>
  <si>
    <t>Consultar usuarios</t>
  </si>
  <si>
    <t>Permite crear un nuevo usuario</t>
  </si>
  <si>
    <t>Editar información de roles y permisos de usuario</t>
  </si>
  <si>
    <t>Permite desactivar un usuario</t>
  </si>
  <si>
    <t>Gestión de credenciales</t>
  </si>
  <si>
    <t>Permite visualizar las credenciales de acceso</t>
  </si>
  <si>
    <t>Permite editar las credenciales de acceso</t>
  </si>
  <si>
    <t>Permite eliminar credenciales de acceso</t>
  </si>
  <si>
    <t>Exportar credenciales</t>
  </si>
  <si>
    <t>Tipos de cuenta</t>
  </si>
  <si>
    <t>Consultar proveedores de acceso</t>
  </si>
  <si>
    <t>Eliminar proveedores de acceso</t>
  </si>
  <si>
    <t>Editar información del proveedor de acceso</t>
  </si>
  <si>
    <t>Crear un nuevo proveedor de cuenta de acceso</t>
  </si>
  <si>
    <t>Crear credenciales de acceso</t>
  </si>
  <si>
    <t>Columna1</t>
  </si>
  <si>
    <t>A</t>
  </si>
  <si>
    <t>ID</t>
  </si>
  <si>
    <t>C</t>
  </si>
  <si>
    <t>D</t>
  </si>
  <si>
    <t>ID GENERADO</t>
  </si>
  <si>
    <t>B</t>
  </si>
  <si>
    <t>Permite crear una nueva unidad</t>
  </si>
  <si>
    <t>Permite exportar la información de contacto</t>
  </si>
  <si>
    <t>ACCESO VERIFICADO</t>
  </si>
  <si>
    <t>MOD</t>
  </si>
  <si>
    <t>SUBMOD</t>
  </si>
  <si>
    <t>ID SUBMODULO</t>
  </si>
  <si>
    <t>NOMBRE SUBMODULO</t>
  </si>
  <si>
    <t>NOMBRE MODULO</t>
  </si>
  <si>
    <t>ID MODULO</t>
  </si>
  <si>
    <t>ID INCREMENTAL</t>
  </si>
  <si>
    <t>DESCRIPCIÓN DEL PERMISO</t>
  </si>
  <si>
    <t>PERMISO 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</si>
</sst>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9"/>
      <color theme="0"/>
      <name val="Aptos Narrow"/>
      <family val="2"/>
    </font>
    <font>
      <sz val="10"/>
      <color theme="1"/>
      <name val="JetBrains Mono"/>
      <family val="3"/>
    </font>
    <font>
      <sz val="8"/>
      <name val="Calibri"/>
      <family val="2"/>
      <scheme val="minor"/>
    </font>
    <font>
      <sz val="9"/>
      <color theme="1"/>
      <name val="Aptos"/>
      <family val="2"/>
    </font>
    <font>
      <sz val="9"/>
      <color theme="1"/>
      <name val="Calibri"/>
      <family val="2"/>
      <scheme val="minor"/>
    </font>
    <font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Border="1"/>
    <xf numFmtId="0" fontId="1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4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1" fillId="0" borderId="8" xfId="0" applyFont="1" applyFill="1" applyBorder="1" applyAlignment="1">
      <alignment horizontal="left" vertical="center"/>
    </xf>
    <xf numFmtId="0" fontId="3" fillId="0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7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JetBrains Mono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42B73-4530-4098-B3F3-CDB54238AB5E}" name="Tabla1" displayName="Tabla1" ref="B1:I54" totalsRowShown="0" headerRowDxfId="20" dataDxfId="18" headerRowBorderDxfId="19" tableBorderDxfId="17" totalsRowBorderDxfId="16">
  <autoFilter ref="B1:I54" xr:uid="{ED542B73-4530-4098-B3F3-CDB54238AB5E}"/>
  <sortState xmlns:xlrd2="http://schemas.microsoft.com/office/spreadsheetml/2017/richdata2" ref="B2:H54">
    <sortCondition ref="B1:B54"/>
  </sortState>
  <tableColumns count="8">
    <tableColumn id="2" xr3:uid="{EA89961B-5280-4D24-9249-2E6CA1220292}" name="NOMBRE MODULO" dataDxfId="15"/>
    <tableColumn id="3" xr3:uid="{98214BF8-B705-4EDC-A35E-986BF4910C0F}" name="ID SUBMODULO" dataDxfId="14"/>
    <tableColumn id="4" xr3:uid="{8F8B8F65-6A4E-48E8-B1A7-4A340EF44E54}" name="NOMBRE SUBMODULO" dataDxfId="13"/>
    <tableColumn id="5" xr3:uid="{9B889811-5DB8-42B3-8EBB-61CBEB4EF3DD}" name="ACCION" dataDxfId="12"/>
    <tableColumn id="6" xr3:uid="{A40E08ED-7CB1-44F8-9F26-D87455178C70}" name="ID INCREMENTAL" dataDxfId="11">
      <calculatedColumnFormula>ROW()-2</calculatedColumnFormula>
    </tableColumn>
    <tableColumn id="9" xr3:uid="{B6C0F205-F51C-4CA8-B42E-532EF54A2A95}" name="PERMISO UNICO" dataDxfId="10">
      <calculatedColumnFormula>_xlfn.CONCAT(A2,Tabla1[[#This Row],[ID SUBMODULO]],Tabla1[[#This Row],[ID INCREMENTAL]])</calculatedColumnFormula>
    </tableColumn>
    <tableColumn id="7" xr3:uid="{279E2FF8-53C3-4181-85CB-A1758C9C16CC}" name="DESCRIPCIÓN DEL PERMISO" dataDxfId="9"/>
    <tableColumn id="10" xr3:uid="{A4B1FBAC-7E94-4996-B754-A125E0B27098}" name="ACCESO VERIFICADO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0C72-1CE9-4383-9751-C56A1D42D1FF}">
  <sheetPr>
    <pageSetUpPr fitToPage="1"/>
  </sheetPr>
  <dimension ref="A1:I68"/>
  <sheetViews>
    <sheetView tabSelected="1" zoomScaleNormal="100" workbookViewId="0">
      <selection activeCell="H24" sqref="H24"/>
    </sheetView>
  </sheetViews>
  <sheetFormatPr baseColWidth="10" defaultRowHeight="15" x14ac:dyDescent="0.25"/>
  <cols>
    <col min="1" max="1" width="9.42578125" style="45" bestFit="1" customWidth="1"/>
    <col min="2" max="2" width="22.85546875" style="1" bestFit="1" customWidth="1"/>
    <col min="3" max="3" width="14.5703125" style="1" bestFit="1" customWidth="1"/>
    <col min="4" max="4" width="24.85546875" style="1" bestFit="1" customWidth="1"/>
    <col min="5" max="5" width="9.28515625" style="13" bestFit="1" customWidth="1"/>
    <col min="6" max="6" width="17.85546875" style="5" bestFit="1" customWidth="1"/>
    <col min="7" max="7" width="16.7109375" style="5" customWidth="1"/>
    <col min="8" max="8" width="63.42578125" style="4" bestFit="1" customWidth="1"/>
    <col min="9" max="9" width="21.140625" style="42" bestFit="1" customWidth="1"/>
    <col min="10" max="16384" width="11.42578125" style="1"/>
  </cols>
  <sheetData>
    <row r="1" spans="1:9" x14ac:dyDescent="0.2">
      <c r="A1" s="43" t="s">
        <v>103</v>
      </c>
      <c r="B1" s="30" t="s">
        <v>102</v>
      </c>
      <c r="C1" s="30" t="s">
        <v>100</v>
      </c>
      <c r="D1" s="30" t="s">
        <v>101</v>
      </c>
      <c r="E1" s="30" t="s">
        <v>20</v>
      </c>
      <c r="F1" s="31" t="s">
        <v>104</v>
      </c>
      <c r="G1" s="31" t="s">
        <v>106</v>
      </c>
      <c r="H1" s="30" t="s">
        <v>105</v>
      </c>
      <c r="I1" s="39" t="s">
        <v>97</v>
      </c>
    </row>
    <row r="2" spans="1:9" x14ac:dyDescent="0.25">
      <c r="A2" s="44" t="s">
        <v>89</v>
      </c>
      <c r="B2" s="32" t="s">
        <v>4</v>
      </c>
      <c r="C2" s="32"/>
      <c r="D2" s="32"/>
      <c r="E2" s="33" t="s">
        <v>98</v>
      </c>
      <c r="F2" s="34"/>
      <c r="G2" s="34" t="str">
        <f>_xlfn.CONCAT(A2,Tabla1[[#This Row],[ID SUBMODULO]],Tabla1[[#This Row],[ID INCREMENTAL]])</f>
        <v>A</v>
      </c>
      <c r="H2" s="32" t="s">
        <v>22</v>
      </c>
      <c r="I2" s="40">
        <v>1</v>
      </c>
    </row>
    <row r="3" spans="1:9" x14ac:dyDescent="0.25">
      <c r="A3" s="44" t="s">
        <v>89</v>
      </c>
      <c r="B3" s="32" t="s">
        <v>4</v>
      </c>
      <c r="C3" s="32" t="s">
        <v>89</v>
      </c>
      <c r="D3" s="32" t="s">
        <v>3</v>
      </c>
      <c r="E3" s="33" t="s">
        <v>99</v>
      </c>
      <c r="F3" s="34"/>
      <c r="G3" s="34" t="str">
        <f>_xlfn.CONCAT(A3,Tabla1[[#This Row],[ID SUBMODULO]],Tabla1[[#This Row],[ID INCREMENTAL]])</f>
        <v>AA</v>
      </c>
      <c r="H3" s="32" t="s">
        <v>21</v>
      </c>
      <c r="I3" s="40">
        <v>1</v>
      </c>
    </row>
    <row r="4" spans="1:9" x14ac:dyDescent="0.25">
      <c r="A4" s="44" t="s">
        <v>89</v>
      </c>
      <c r="B4" s="32" t="s">
        <v>4</v>
      </c>
      <c r="C4" s="32" t="s">
        <v>89</v>
      </c>
      <c r="D4" s="32" t="s">
        <v>3</v>
      </c>
      <c r="E4" s="33" t="s">
        <v>39</v>
      </c>
      <c r="F4" s="34">
        <v>1</v>
      </c>
      <c r="G4" s="34" t="str">
        <f>_xlfn.CONCAT(A4,Tabla1[[#This Row],[ID SUBMODULO]],Tabla1[[#This Row],[ID INCREMENTAL]])</f>
        <v>AA1</v>
      </c>
      <c r="H4" s="32" t="s">
        <v>10</v>
      </c>
      <c r="I4" s="40">
        <v>1</v>
      </c>
    </row>
    <row r="5" spans="1:9" x14ac:dyDescent="0.25">
      <c r="A5" s="44" t="s">
        <v>89</v>
      </c>
      <c r="B5" s="32" t="s">
        <v>4</v>
      </c>
      <c r="C5" s="32" t="s">
        <v>89</v>
      </c>
      <c r="D5" s="32" t="s">
        <v>3</v>
      </c>
      <c r="E5" s="33" t="s">
        <v>41</v>
      </c>
      <c r="F5" s="34">
        <v>2</v>
      </c>
      <c r="G5" s="35" t="str">
        <f>_xlfn.CONCAT(A5,Tabla1[[#This Row],[ID SUBMODULO]],Tabla1[[#This Row],[ID INCREMENTAL]])</f>
        <v>AA2</v>
      </c>
      <c r="H5" s="32" t="s">
        <v>33</v>
      </c>
      <c r="I5" s="40">
        <v>1</v>
      </c>
    </row>
    <row r="6" spans="1:9" x14ac:dyDescent="0.25">
      <c r="A6" s="44" t="s">
        <v>89</v>
      </c>
      <c r="B6" s="32" t="s">
        <v>4</v>
      </c>
      <c r="C6" s="32" t="s">
        <v>89</v>
      </c>
      <c r="D6" s="32" t="s">
        <v>3</v>
      </c>
      <c r="E6" s="33" t="s">
        <v>43</v>
      </c>
      <c r="F6" s="34">
        <v>3</v>
      </c>
      <c r="G6" s="34" t="str">
        <f>_xlfn.CONCAT(A6,Tabla1[[#This Row],[ID SUBMODULO]],Tabla1[[#This Row],[ID INCREMENTAL]])</f>
        <v>AA3</v>
      </c>
      <c r="H6" s="32" t="s">
        <v>5</v>
      </c>
      <c r="I6" s="40">
        <v>1</v>
      </c>
    </row>
    <row r="7" spans="1:9" x14ac:dyDescent="0.25">
      <c r="A7" s="44" t="s">
        <v>89</v>
      </c>
      <c r="B7" s="32" t="s">
        <v>4</v>
      </c>
      <c r="C7" s="32" t="s">
        <v>89</v>
      </c>
      <c r="D7" s="32" t="s">
        <v>3</v>
      </c>
      <c r="E7" s="33" t="s">
        <v>42</v>
      </c>
      <c r="F7" s="34">
        <v>5</v>
      </c>
      <c r="G7" s="34" t="str">
        <f>_xlfn.CONCAT(A7,Tabla1[[#This Row],[ID SUBMODULO]],Tabla1[[#This Row],[ID INCREMENTAL]])</f>
        <v>AA5</v>
      </c>
      <c r="H7" s="32" t="s">
        <v>95</v>
      </c>
      <c r="I7" s="40">
        <v>1</v>
      </c>
    </row>
    <row r="8" spans="1:9" x14ac:dyDescent="0.25">
      <c r="A8" s="44" t="s">
        <v>89</v>
      </c>
      <c r="B8" s="32" t="s">
        <v>4</v>
      </c>
      <c r="C8" s="32" t="s">
        <v>89</v>
      </c>
      <c r="D8" s="32" t="s">
        <v>3</v>
      </c>
      <c r="E8" s="33" t="s">
        <v>45</v>
      </c>
      <c r="F8" s="34">
        <v>6</v>
      </c>
      <c r="G8" s="34" t="str">
        <f>_xlfn.CONCAT(A8,Tabla1[[#This Row],[ID SUBMODULO]],Tabla1[[#This Row],[ID INCREMENTAL]])</f>
        <v>AA6</v>
      </c>
      <c r="H8" s="32" t="s">
        <v>96</v>
      </c>
      <c r="I8" s="40">
        <v>1</v>
      </c>
    </row>
    <row r="9" spans="1:9" x14ac:dyDescent="0.25">
      <c r="A9" s="44" t="s">
        <v>89</v>
      </c>
      <c r="B9" s="37" t="s">
        <v>4</v>
      </c>
      <c r="C9" s="32" t="s">
        <v>94</v>
      </c>
      <c r="D9" s="32" t="s">
        <v>31</v>
      </c>
      <c r="E9" s="33" t="s">
        <v>99</v>
      </c>
      <c r="F9" s="38"/>
      <c r="G9" s="34" t="str">
        <f>_xlfn.CONCAT(A9,Tabla1[[#This Row],[ID SUBMODULO]],Tabla1[[#This Row],[ID INCREMENTAL]])</f>
        <v>AB</v>
      </c>
      <c r="H9" s="32" t="s">
        <v>21</v>
      </c>
      <c r="I9" s="41">
        <v>1</v>
      </c>
    </row>
    <row r="10" spans="1:9" x14ac:dyDescent="0.25">
      <c r="A10" s="44" t="s">
        <v>89</v>
      </c>
      <c r="B10" s="32" t="s">
        <v>4</v>
      </c>
      <c r="C10" s="32" t="s">
        <v>94</v>
      </c>
      <c r="D10" s="32" t="s">
        <v>31</v>
      </c>
      <c r="E10" s="33" t="s">
        <v>42</v>
      </c>
      <c r="F10" s="35">
        <v>2</v>
      </c>
      <c r="G10" s="35" t="str">
        <f>_xlfn.CONCAT(A10,Tabla1[[#This Row],[ID SUBMODULO]],Tabla1[[#This Row],[ID INCREMENTAL]])</f>
        <v>AB2</v>
      </c>
      <c r="H10" s="32" t="s">
        <v>23</v>
      </c>
      <c r="I10" s="40">
        <v>1</v>
      </c>
    </row>
    <row r="11" spans="1:9" x14ac:dyDescent="0.25">
      <c r="A11" s="44" t="s">
        <v>89</v>
      </c>
      <c r="B11" s="32" t="s">
        <v>4</v>
      </c>
      <c r="C11" s="32" t="s">
        <v>94</v>
      </c>
      <c r="D11" s="32" t="s">
        <v>31</v>
      </c>
      <c r="E11" s="33" t="s">
        <v>41</v>
      </c>
      <c r="F11" s="35">
        <v>3</v>
      </c>
      <c r="G11" s="35" t="str">
        <f>_xlfn.CONCAT(A11,Tabla1[[#This Row],[ID SUBMODULO]],Tabla1[[#This Row],[ID INCREMENTAL]])</f>
        <v>AB3</v>
      </c>
      <c r="H11" s="32" t="s">
        <v>26</v>
      </c>
      <c r="I11" s="40">
        <v>1</v>
      </c>
    </row>
    <row r="12" spans="1:9" x14ac:dyDescent="0.25">
      <c r="A12" s="44" t="s">
        <v>89</v>
      </c>
      <c r="B12" s="32" t="s">
        <v>4</v>
      </c>
      <c r="C12" s="32" t="s">
        <v>94</v>
      </c>
      <c r="D12" s="32" t="s">
        <v>31</v>
      </c>
      <c r="E12" s="33" t="s">
        <v>43</v>
      </c>
      <c r="F12" s="35">
        <v>4</v>
      </c>
      <c r="G12" s="35" t="str">
        <f>_xlfn.CONCAT(A12,Tabla1[[#This Row],[ID SUBMODULO]],Tabla1[[#This Row],[ID INCREMENTAL]])</f>
        <v>AB4</v>
      </c>
      <c r="H12" s="32" t="s">
        <v>28</v>
      </c>
      <c r="I12" s="40">
        <v>1</v>
      </c>
    </row>
    <row r="13" spans="1:9" x14ac:dyDescent="0.25">
      <c r="A13" s="44" t="s">
        <v>94</v>
      </c>
      <c r="B13" s="32" t="s">
        <v>8</v>
      </c>
      <c r="C13" s="32"/>
      <c r="D13" s="32"/>
      <c r="E13" s="33" t="s">
        <v>98</v>
      </c>
      <c r="F13" s="34"/>
      <c r="G13" s="34" t="str">
        <f>_xlfn.CONCAT(A13,Tabla1[[#This Row],[ID SUBMODULO]],Tabla1[[#This Row],[ID INCREMENTAL]])</f>
        <v>B</v>
      </c>
      <c r="H13" s="32" t="s">
        <v>22</v>
      </c>
      <c r="I13" s="40"/>
    </row>
    <row r="14" spans="1:9" x14ac:dyDescent="0.25">
      <c r="A14" s="44" t="s">
        <v>94</v>
      </c>
      <c r="B14" s="32" t="s">
        <v>8</v>
      </c>
      <c r="C14" s="32" t="s">
        <v>89</v>
      </c>
      <c r="D14" s="32" t="s">
        <v>11</v>
      </c>
      <c r="E14" s="33" t="s">
        <v>99</v>
      </c>
      <c r="F14" s="34"/>
      <c r="G14" s="34" t="str">
        <f>_xlfn.CONCAT(A14,Tabla1[[#This Row],[ID SUBMODULO]],Tabla1[[#This Row],[ID INCREMENTAL]])</f>
        <v>BA</v>
      </c>
      <c r="H14" s="32" t="s">
        <v>21</v>
      </c>
      <c r="I14" s="40"/>
    </row>
    <row r="15" spans="1:9" x14ac:dyDescent="0.25">
      <c r="A15" s="44" t="s">
        <v>94</v>
      </c>
      <c r="B15" s="32" t="s">
        <v>8</v>
      </c>
      <c r="C15" s="32" t="s">
        <v>89</v>
      </c>
      <c r="D15" s="32" t="s">
        <v>11</v>
      </c>
      <c r="E15" s="33" t="s">
        <v>39</v>
      </c>
      <c r="F15" s="34">
        <v>1</v>
      </c>
      <c r="G15" s="34" t="str">
        <f>_xlfn.CONCAT(A15,Tabla1[[#This Row],[ID SUBMODULO]],Tabla1[[#This Row],[ID INCREMENTAL]])</f>
        <v>BA1</v>
      </c>
      <c r="H15" s="32" t="s">
        <v>14</v>
      </c>
      <c r="I15" s="40"/>
    </row>
    <row r="16" spans="1:9" x14ac:dyDescent="0.25">
      <c r="A16" s="44" t="s">
        <v>94</v>
      </c>
      <c r="B16" s="32" t="s">
        <v>8</v>
      </c>
      <c r="C16" s="32" t="s">
        <v>89</v>
      </c>
      <c r="D16" s="32" t="s">
        <v>11</v>
      </c>
      <c r="E16" s="36" t="s">
        <v>39</v>
      </c>
      <c r="F16" s="34">
        <v>2</v>
      </c>
      <c r="G16" s="34" t="str">
        <f>_xlfn.CONCAT(A16,Tabla1[[#This Row],[ID SUBMODULO]],Tabla1[[#This Row],[ID INCREMENTAL]])</f>
        <v>BA2</v>
      </c>
      <c r="H16" s="32" t="s">
        <v>58</v>
      </c>
      <c r="I16" s="40"/>
    </row>
    <row r="17" spans="1:9" x14ac:dyDescent="0.25">
      <c r="A17" s="44" t="s">
        <v>94</v>
      </c>
      <c r="B17" s="32" t="s">
        <v>8</v>
      </c>
      <c r="C17" s="32" t="s">
        <v>89</v>
      </c>
      <c r="D17" s="32" t="s">
        <v>11</v>
      </c>
      <c r="E17" s="33" t="s">
        <v>45</v>
      </c>
      <c r="F17" s="34">
        <v>3</v>
      </c>
      <c r="G17" s="34" t="str">
        <f>_xlfn.CONCAT(A17,Tabla1[[#This Row],[ID SUBMODULO]],Tabla1[[#This Row],[ID INCREMENTAL]])</f>
        <v>BA3</v>
      </c>
      <c r="H17" s="32" t="s">
        <v>35</v>
      </c>
      <c r="I17" s="40"/>
    </row>
    <row r="18" spans="1:9" x14ac:dyDescent="0.25">
      <c r="A18" s="44" t="s">
        <v>94</v>
      </c>
      <c r="B18" s="32" t="s">
        <v>8</v>
      </c>
      <c r="C18" s="32" t="s">
        <v>89</v>
      </c>
      <c r="D18" s="32" t="s">
        <v>11</v>
      </c>
      <c r="E18" s="36" t="s">
        <v>44</v>
      </c>
      <c r="F18" s="34">
        <v>4</v>
      </c>
      <c r="G18" s="34" t="str">
        <f>_xlfn.CONCAT(A18,Tabla1[[#This Row],[ID SUBMODULO]],Tabla1[[#This Row],[ID INCREMENTAL]])</f>
        <v>BA4</v>
      </c>
      <c r="H18" s="32" t="s">
        <v>16</v>
      </c>
      <c r="I18" s="40"/>
    </row>
    <row r="19" spans="1:9" x14ac:dyDescent="0.25">
      <c r="A19" s="44" t="s">
        <v>94</v>
      </c>
      <c r="B19" s="32" t="s">
        <v>8</v>
      </c>
      <c r="C19" s="32" t="s">
        <v>94</v>
      </c>
      <c r="D19" s="32" t="s">
        <v>12</v>
      </c>
      <c r="E19" s="33" t="s">
        <v>99</v>
      </c>
      <c r="F19" s="34"/>
      <c r="G19" s="34" t="str">
        <f>_xlfn.CONCAT(A19,Tabla1[[#This Row],[ID SUBMODULO]],Tabla1[[#This Row],[ID INCREMENTAL]])</f>
        <v>BB</v>
      </c>
      <c r="H19" s="32" t="s">
        <v>21</v>
      </c>
      <c r="I19" s="40"/>
    </row>
    <row r="20" spans="1:9" x14ac:dyDescent="0.25">
      <c r="A20" s="44" t="s">
        <v>94</v>
      </c>
      <c r="B20" s="32" t="s">
        <v>8</v>
      </c>
      <c r="C20" s="32" t="s">
        <v>94</v>
      </c>
      <c r="D20" s="32" t="s">
        <v>12</v>
      </c>
      <c r="E20" s="33" t="s">
        <v>39</v>
      </c>
      <c r="F20" s="34">
        <v>1</v>
      </c>
      <c r="G20" s="34" t="str">
        <f>_xlfn.CONCAT(A20,Tabla1[[#This Row],[ID SUBMODULO]],Tabla1[[#This Row],[ID INCREMENTAL]])</f>
        <v>BB1</v>
      </c>
      <c r="H20" s="32" t="s">
        <v>14</v>
      </c>
      <c r="I20" s="40"/>
    </row>
    <row r="21" spans="1:9" x14ac:dyDescent="0.25">
      <c r="A21" s="44" t="s">
        <v>94</v>
      </c>
      <c r="B21" s="32" t="s">
        <v>8</v>
      </c>
      <c r="C21" s="32" t="s">
        <v>94</v>
      </c>
      <c r="D21" s="32" t="s">
        <v>12</v>
      </c>
      <c r="E21" s="33" t="s">
        <v>44</v>
      </c>
      <c r="F21" s="34">
        <v>2</v>
      </c>
      <c r="G21" s="34" t="str">
        <f>_xlfn.CONCAT(A21,Tabla1[[#This Row],[ID SUBMODULO]],Tabla1[[#This Row],[ID INCREMENTAL]])</f>
        <v>BB2</v>
      </c>
      <c r="H21" s="32" t="s">
        <v>16</v>
      </c>
      <c r="I21" s="40"/>
    </row>
    <row r="22" spans="1:9" x14ac:dyDescent="0.25">
      <c r="A22" s="44" t="s">
        <v>94</v>
      </c>
      <c r="B22" s="32" t="s">
        <v>8</v>
      </c>
      <c r="C22" s="32" t="s">
        <v>94</v>
      </c>
      <c r="D22" s="32" t="s">
        <v>12</v>
      </c>
      <c r="E22" s="33" t="s">
        <v>45</v>
      </c>
      <c r="F22" s="34">
        <v>3</v>
      </c>
      <c r="G22" s="34" t="str">
        <f>_xlfn.CONCAT(A22,Tabla1[[#This Row],[ID SUBMODULO]],Tabla1[[#This Row],[ID INCREMENTAL]])</f>
        <v>BB3</v>
      </c>
      <c r="H22" s="32" t="s">
        <v>38</v>
      </c>
      <c r="I22" s="40"/>
    </row>
    <row r="23" spans="1:9" x14ac:dyDescent="0.25">
      <c r="A23" s="44" t="s">
        <v>94</v>
      </c>
      <c r="B23" s="32" t="s">
        <v>8</v>
      </c>
      <c r="C23" s="32" t="s">
        <v>91</v>
      </c>
      <c r="D23" s="32" t="s">
        <v>17</v>
      </c>
      <c r="E23" s="33" t="s">
        <v>99</v>
      </c>
      <c r="F23" s="34"/>
      <c r="G23" s="34" t="str">
        <f>_xlfn.CONCAT(A23,Tabla1[[#This Row],[ID SUBMODULO]],Tabla1[[#This Row],[ID INCREMENTAL]])</f>
        <v>BC</v>
      </c>
      <c r="H23" s="32" t="s">
        <v>21</v>
      </c>
      <c r="I23" s="40"/>
    </row>
    <row r="24" spans="1:9" x14ac:dyDescent="0.25">
      <c r="A24" s="44" t="s">
        <v>94</v>
      </c>
      <c r="B24" s="32" t="s">
        <v>8</v>
      </c>
      <c r="C24" s="32" t="s">
        <v>91</v>
      </c>
      <c r="D24" s="32" t="s">
        <v>17</v>
      </c>
      <c r="E24" s="33" t="s">
        <v>39</v>
      </c>
      <c r="F24" s="34">
        <v>1</v>
      </c>
      <c r="G24" s="34" t="str">
        <f>_xlfn.CONCAT(A24,Tabla1[[#This Row],[ID SUBMODULO]],Tabla1[[#This Row],[ID INCREMENTAL]])</f>
        <v>BC1</v>
      </c>
      <c r="H24" s="32" t="s">
        <v>48</v>
      </c>
      <c r="I24" s="40"/>
    </row>
    <row r="25" spans="1:9" x14ac:dyDescent="0.25">
      <c r="A25" s="44" t="s">
        <v>94</v>
      </c>
      <c r="B25" s="32" t="s">
        <v>8</v>
      </c>
      <c r="C25" s="32" t="s">
        <v>91</v>
      </c>
      <c r="D25" s="32" t="s">
        <v>17</v>
      </c>
      <c r="E25" s="33" t="s">
        <v>41</v>
      </c>
      <c r="F25" s="34">
        <v>2</v>
      </c>
      <c r="G25" s="34" t="str">
        <f>_xlfn.CONCAT(A25,Tabla1[[#This Row],[ID SUBMODULO]],Tabla1[[#This Row],[ID INCREMENTAL]])</f>
        <v>BC2</v>
      </c>
      <c r="H25" s="32" t="s">
        <v>50</v>
      </c>
      <c r="I25" s="40"/>
    </row>
    <row r="26" spans="1:9" x14ac:dyDescent="0.25">
      <c r="A26" s="44" t="s">
        <v>94</v>
      </c>
      <c r="B26" s="32" t="s">
        <v>8</v>
      </c>
      <c r="C26" s="32" t="s">
        <v>91</v>
      </c>
      <c r="D26" s="32" t="s">
        <v>17</v>
      </c>
      <c r="E26" s="33" t="s">
        <v>41</v>
      </c>
      <c r="F26" s="34">
        <v>3</v>
      </c>
      <c r="G26" s="34" t="str">
        <f>_xlfn.CONCAT(A26,Tabla1[[#This Row],[ID SUBMODULO]],Tabla1[[#This Row],[ID INCREMENTAL]])</f>
        <v>BC3</v>
      </c>
      <c r="H26" s="32" t="s">
        <v>52</v>
      </c>
      <c r="I26" s="40"/>
    </row>
    <row r="27" spans="1:9" x14ac:dyDescent="0.25">
      <c r="A27" s="44" t="s">
        <v>94</v>
      </c>
      <c r="B27" s="32" t="s">
        <v>8</v>
      </c>
      <c r="C27" s="32" t="s">
        <v>91</v>
      </c>
      <c r="D27" s="32" t="s">
        <v>17</v>
      </c>
      <c r="E27" s="33" t="s">
        <v>41</v>
      </c>
      <c r="F27" s="34">
        <v>4</v>
      </c>
      <c r="G27" s="34" t="str">
        <f>_xlfn.CONCAT(A27,Tabla1[[#This Row],[ID SUBMODULO]],Tabla1[[#This Row],[ID INCREMENTAL]])</f>
        <v>BC4</v>
      </c>
      <c r="H27" s="32" t="s">
        <v>54</v>
      </c>
      <c r="I27" s="40"/>
    </row>
    <row r="28" spans="1:9" x14ac:dyDescent="0.25">
      <c r="A28" s="44" t="s">
        <v>94</v>
      </c>
      <c r="B28" s="32" t="s">
        <v>8</v>
      </c>
      <c r="C28" s="32" t="s">
        <v>91</v>
      </c>
      <c r="D28" s="32" t="s">
        <v>17</v>
      </c>
      <c r="E28" s="33" t="s">
        <v>39</v>
      </c>
      <c r="F28" s="34">
        <v>5</v>
      </c>
      <c r="G28" s="34" t="str">
        <f>_xlfn.CONCAT(A28,Tabla1[[#This Row],[ID SUBMODULO]],Tabla1[[#This Row],[ID INCREMENTAL]])</f>
        <v>BC5</v>
      </c>
      <c r="H28" s="32" t="s">
        <v>56</v>
      </c>
      <c r="I28" s="40"/>
    </row>
    <row r="29" spans="1:9" x14ac:dyDescent="0.25">
      <c r="A29" s="44" t="s">
        <v>94</v>
      </c>
      <c r="B29" s="32" t="s">
        <v>8</v>
      </c>
      <c r="C29" s="32" t="s">
        <v>92</v>
      </c>
      <c r="D29" s="32" t="s">
        <v>59</v>
      </c>
      <c r="E29" s="33" t="s">
        <v>99</v>
      </c>
      <c r="F29" s="35"/>
      <c r="G29" s="34" t="str">
        <f>_xlfn.CONCAT(A29,Tabla1[[#This Row],[ID SUBMODULO]],Tabla1[[#This Row],[ID INCREMENTAL]])</f>
        <v>BD</v>
      </c>
      <c r="H29" s="32" t="s">
        <v>21</v>
      </c>
      <c r="I29" s="40"/>
    </row>
    <row r="30" spans="1:9" x14ac:dyDescent="0.25">
      <c r="A30" s="44" t="s">
        <v>94</v>
      </c>
      <c r="B30" s="32" t="s">
        <v>8</v>
      </c>
      <c r="C30" s="32" t="s">
        <v>92</v>
      </c>
      <c r="D30" s="32" t="s">
        <v>59</v>
      </c>
      <c r="E30" s="33" t="s">
        <v>39</v>
      </c>
      <c r="F30" s="35">
        <v>1</v>
      </c>
      <c r="G30" s="34" t="str">
        <f>_xlfn.CONCAT(A30,Tabla1[[#This Row],[ID SUBMODULO]],Tabla1[[#This Row],[ID INCREMENTAL]])</f>
        <v>BD1</v>
      </c>
      <c r="H30" s="32" t="s">
        <v>61</v>
      </c>
      <c r="I30" s="40"/>
    </row>
    <row r="31" spans="1:9" x14ac:dyDescent="0.25">
      <c r="A31" s="44" t="s">
        <v>94</v>
      </c>
      <c r="B31" s="32" t="s">
        <v>8</v>
      </c>
      <c r="C31" s="32" t="s">
        <v>92</v>
      </c>
      <c r="D31" s="32" t="s">
        <v>59</v>
      </c>
      <c r="E31" s="33" t="s">
        <v>44</v>
      </c>
      <c r="F31" s="35">
        <v>2</v>
      </c>
      <c r="G31" s="34" t="str">
        <f>_xlfn.CONCAT(A31,Tabla1[[#This Row],[ID SUBMODULO]],Tabla1[[#This Row],[ID INCREMENTAL]])</f>
        <v>BD2</v>
      </c>
      <c r="H31" s="32" t="s">
        <v>16</v>
      </c>
      <c r="I31" s="40"/>
    </row>
    <row r="32" spans="1:9" x14ac:dyDescent="0.25">
      <c r="A32" s="44" t="s">
        <v>94</v>
      </c>
      <c r="B32" s="32" t="s">
        <v>8</v>
      </c>
      <c r="C32" s="32" t="s">
        <v>92</v>
      </c>
      <c r="D32" s="32" t="s">
        <v>59</v>
      </c>
      <c r="E32" s="33" t="s">
        <v>45</v>
      </c>
      <c r="F32" s="35">
        <v>3</v>
      </c>
      <c r="G32" s="34" t="str">
        <f>_xlfn.CONCAT(A32,Tabla1[[#This Row],[ID SUBMODULO]],Tabla1[[#This Row],[ID INCREMENTAL]])</f>
        <v>BD3</v>
      </c>
      <c r="H32" s="32" t="s">
        <v>63</v>
      </c>
      <c r="I32" s="40"/>
    </row>
    <row r="33" spans="1:9" x14ac:dyDescent="0.25">
      <c r="A33" s="44" t="s">
        <v>94</v>
      </c>
      <c r="B33" s="32" t="s">
        <v>8</v>
      </c>
      <c r="C33" s="32" t="s">
        <v>92</v>
      </c>
      <c r="D33" s="32" t="s">
        <v>66</v>
      </c>
      <c r="E33" s="33" t="s">
        <v>99</v>
      </c>
      <c r="F33" s="35">
        <v>4</v>
      </c>
      <c r="G33" s="34" t="str">
        <f>_xlfn.CONCAT(A33,Tabla1[[#This Row],[ID SUBMODULO]],Tabla1[[#This Row],[ID INCREMENTAL]])</f>
        <v>BD4</v>
      </c>
      <c r="H33" s="32" t="s">
        <v>65</v>
      </c>
      <c r="I33" s="40"/>
    </row>
    <row r="34" spans="1:9" x14ac:dyDescent="0.25">
      <c r="A34" s="44" t="s">
        <v>91</v>
      </c>
      <c r="B34" s="32" t="s">
        <v>18</v>
      </c>
      <c r="C34" s="32"/>
      <c r="D34" s="32"/>
      <c r="E34" s="33" t="s">
        <v>98</v>
      </c>
      <c r="F34" s="34"/>
      <c r="G34" s="34" t="str">
        <f>_xlfn.CONCAT(A34,Tabla1[[#This Row],[ID SUBMODULO]],Tabla1[[#This Row],[ID INCREMENTAL]])</f>
        <v>C</v>
      </c>
      <c r="H34" s="32" t="s">
        <v>9</v>
      </c>
      <c r="I34" s="40"/>
    </row>
    <row r="35" spans="1:9" x14ac:dyDescent="0.25">
      <c r="A35" s="44" t="s">
        <v>91</v>
      </c>
      <c r="B35" s="32" t="s">
        <v>18</v>
      </c>
      <c r="C35" s="32" t="s">
        <v>89</v>
      </c>
      <c r="D35" s="32" t="s">
        <v>67</v>
      </c>
      <c r="E35" s="33" t="s">
        <v>99</v>
      </c>
      <c r="F35" s="34"/>
      <c r="G35" s="34" t="str">
        <f>_xlfn.CONCAT(A35,Tabla1[[#This Row],[ID SUBMODULO]],Tabla1[[#This Row],[ID INCREMENTAL]])</f>
        <v>CA</v>
      </c>
      <c r="H35" s="32" t="s">
        <v>21</v>
      </c>
      <c r="I35" s="40"/>
    </row>
    <row r="36" spans="1:9" x14ac:dyDescent="0.25">
      <c r="A36" s="44" t="s">
        <v>91</v>
      </c>
      <c r="B36" s="32" t="s">
        <v>18</v>
      </c>
      <c r="C36" s="32" t="s">
        <v>89</v>
      </c>
      <c r="D36" s="32" t="s">
        <v>67</v>
      </c>
      <c r="E36" s="33" t="s">
        <v>39</v>
      </c>
      <c r="F36" s="34">
        <v>1</v>
      </c>
      <c r="G36" s="34" t="str">
        <f>_xlfn.CONCAT(A36,Tabla1[[#This Row],[ID SUBMODULO]],Tabla1[[#This Row],[ID INCREMENTAL]])</f>
        <v>CA1</v>
      </c>
      <c r="H36" s="32" t="s">
        <v>68</v>
      </c>
      <c r="I36" s="40"/>
    </row>
    <row r="37" spans="1:9" x14ac:dyDescent="0.25">
      <c r="A37" s="44" t="s">
        <v>91</v>
      </c>
      <c r="B37" s="32" t="s">
        <v>18</v>
      </c>
      <c r="C37" s="32" t="s">
        <v>89</v>
      </c>
      <c r="D37" s="32" t="s">
        <v>67</v>
      </c>
      <c r="E37" s="33" t="s">
        <v>43</v>
      </c>
      <c r="F37" s="34">
        <v>2</v>
      </c>
      <c r="G37" s="34" t="str">
        <f>_xlfn.CONCAT(A37,Tabla1[[#This Row],[ID SUBMODULO]],Tabla1[[#This Row],[ID INCREMENTAL]])</f>
        <v>CA2</v>
      </c>
      <c r="H37" s="32" t="s">
        <v>69</v>
      </c>
      <c r="I37" s="40"/>
    </row>
    <row r="38" spans="1:9" x14ac:dyDescent="0.25">
      <c r="A38" s="44" t="s">
        <v>91</v>
      </c>
      <c r="B38" s="32" t="s">
        <v>18</v>
      </c>
      <c r="C38" s="32" t="s">
        <v>89</v>
      </c>
      <c r="D38" s="32" t="s">
        <v>67</v>
      </c>
      <c r="E38" s="33" t="s">
        <v>41</v>
      </c>
      <c r="F38" s="34">
        <v>3</v>
      </c>
      <c r="G38" s="34" t="str">
        <f>_xlfn.CONCAT(A38,Tabla1[[#This Row],[ID SUBMODULO]],Tabla1[[#This Row],[ID INCREMENTAL]])</f>
        <v>CA3</v>
      </c>
      <c r="H38" s="32" t="s">
        <v>70</v>
      </c>
      <c r="I38" s="40"/>
    </row>
    <row r="39" spans="1:9" x14ac:dyDescent="0.25">
      <c r="A39" s="44" t="s">
        <v>91</v>
      </c>
      <c r="B39" s="32" t="s">
        <v>18</v>
      </c>
      <c r="C39" s="32" t="s">
        <v>89</v>
      </c>
      <c r="D39" s="32" t="s">
        <v>67</v>
      </c>
      <c r="E39" s="33" t="s">
        <v>42</v>
      </c>
      <c r="F39" s="34">
        <v>4</v>
      </c>
      <c r="G39" s="34" t="str">
        <f>_xlfn.CONCAT(A39,Tabla1[[#This Row],[ID SUBMODULO]],Tabla1[[#This Row],[ID INCREMENTAL]])</f>
        <v>CA4</v>
      </c>
      <c r="H39" s="32" t="s">
        <v>71</v>
      </c>
      <c r="I39" s="40"/>
    </row>
    <row r="40" spans="1:9" x14ac:dyDescent="0.25">
      <c r="A40" s="44" t="s">
        <v>91</v>
      </c>
      <c r="B40" s="32" t="s">
        <v>18</v>
      </c>
      <c r="C40" s="32" t="s">
        <v>94</v>
      </c>
      <c r="D40" s="32" t="s">
        <v>72</v>
      </c>
      <c r="E40" s="33" t="s">
        <v>99</v>
      </c>
      <c r="F40" s="34"/>
      <c r="G40" s="34" t="str">
        <f>_xlfn.CONCAT(A40,Tabla1[[#This Row],[ID SUBMODULO]],Tabla1[[#This Row],[ID INCREMENTAL]])</f>
        <v>CB</v>
      </c>
      <c r="H40" s="32" t="s">
        <v>21</v>
      </c>
      <c r="I40" s="40"/>
    </row>
    <row r="41" spans="1:9" x14ac:dyDescent="0.25">
      <c r="A41" s="44" t="s">
        <v>91</v>
      </c>
      <c r="B41" s="32" t="s">
        <v>18</v>
      </c>
      <c r="C41" s="32" t="s">
        <v>94</v>
      </c>
      <c r="D41" s="32" t="s">
        <v>72</v>
      </c>
      <c r="E41" s="33" t="s">
        <v>39</v>
      </c>
      <c r="F41" s="34">
        <v>1</v>
      </c>
      <c r="G41" s="34" t="str">
        <f>_xlfn.CONCAT(A41,Tabla1[[#This Row],[ID SUBMODULO]],Tabla1[[#This Row],[ID INCREMENTAL]])</f>
        <v>CB1</v>
      </c>
      <c r="H41" s="32" t="s">
        <v>73</v>
      </c>
      <c r="I41" s="40"/>
    </row>
    <row r="42" spans="1:9" x14ac:dyDescent="0.25">
      <c r="A42" s="44" t="s">
        <v>91</v>
      </c>
      <c r="B42" s="32" t="s">
        <v>18</v>
      </c>
      <c r="C42" s="32" t="s">
        <v>94</v>
      </c>
      <c r="D42" s="32" t="s">
        <v>72</v>
      </c>
      <c r="E42" s="33" t="s">
        <v>42</v>
      </c>
      <c r="F42" s="34">
        <v>2</v>
      </c>
      <c r="G42" s="34" t="str">
        <f>_xlfn.CONCAT(A42,Tabla1[[#This Row],[ID SUBMODULO]],Tabla1[[#This Row],[ID INCREMENTAL]])</f>
        <v>CB2</v>
      </c>
      <c r="H42" s="32" t="s">
        <v>74</v>
      </c>
      <c r="I42" s="40"/>
    </row>
    <row r="43" spans="1:9" x14ac:dyDescent="0.25">
      <c r="A43" s="44" t="s">
        <v>91</v>
      </c>
      <c r="B43" s="32" t="s">
        <v>18</v>
      </c>
      <c r="C43" s="32" t="s">
        <v>94</v>
      </c>
      <c r="D43" s="32" t="s">
        <v>72</v>
      </c>
      <c r="E43" s="33" t="s">
        <v>41</v>
      </c>
      <c r="F43" s="34">
        <v>3</v>
      </c>
      <c r="G43" s="34" t="str">
        <f>_xlfn.CONCAT(A43,Tabla1[[#This Row],[ID SUBMODULO]],Tabla1[[#This Row],[ID INCREMENTAL]])</f>
        <v>CB3</v>
      </c>
      <c r="H43" s="32" t="s">
        <v>75</v>
      </c>
      <c r="I43" s="40"/>
    </row>
    <row r="44" spans="1:9" x14ac:dyDescent="0.25">
      <c r="A44" s="44" t="s">
        <v>91</v>
      </c>
      <c r="B44" s="32" t="s">
        <v>18</v>
      </c>
      <c r="C44" s="32" t="s">
        <v>94</v>
      </c>
      <c r="D44" s="32" t="s">
        <v>72</v>
      </c>
      <c r="E44" s="33" t="s">
        <v>41</v>
      </c>
      <c r="F44" s="34">
        <v>4</v>
      </c>
      <c r="G44" s="34" t="str">
        <f>_xlfn.CONCAT(A44,Tabla1[[#This Row],[ID SUBMODULO]],Tabla1[[#This Row],[ID INCREMENTAL]])</f>
        <v>CB4</v>
      </c>
      <c r="H44" s="32" t="s">
        <v>76</v>
      </c>
      <c r="I44" s="40"/>
    </row>
    <row r="45" spans="1:9" x14ac:dyDescent="0.25">
      <c r="A45" s="44" t="s">
        <v>91</v>
      </c>
      <c r="B45" s="32" t="s">
        <v>18</v>
      </c>
      <c r="C45" s="32" t="s">
        <v>91</v>
      </c>
      <c r="D45" s="32" t="s">
        <v>77</v>
      </c>
      <c r="E45" s="33" t="s">
        <v>99</v>
      </c>
      <c r="F45" s="34"/>
      <c r="G45" s="34" t="str">
        <f>_xlfn.CONCAT(A45,Tabla1[[#This Row],[ID SUBMODULO]],Tabla1[[#This Row],[ID INCREMENTAL]])</f>
        <v>CC</v>
      </c>
      <c r="H45" s="32" t="s">
        <v>21</v>
      </c>
      <c r="I45" s="40"/>
    </row>
    <row r="46" spans="1:9" x14ac:dyDescent="0.25">
      <c r="A46" s="44" t="s">
        <v>91</v>
      </c>
      <c r="B46" s="32" t="s">
        <v>18</v>
      </c>
      <c r="C46" s="32" t="s">
        <v>91</v>
      </c>
      <c r="D46" s="32" t="s">
        <v>77</v>
      </c>
      <c r="E46" s="33" t="s">
        <v>39</v>
      </c>
      <c r="F46" s="34">
        <v>1</v>
      </c>
      <c r="G46" s="34" t="str">
        <f>_xlfn.CONCAT(A46,Tabla1[[#This Row],[ID SUBMODULO]],Tabla1[[#This Row],[ID INCREMENTAL]])</f>
        <v>CC1</v>
      </c>
      <c r="H46" s="32" t="s">
        <v>78</v>
      </c>
      <c r="I46" s="40"/>
    </row>
    <row r="47" spans="1:9" x14ac:dyDescent="0.25">
      <c r="A47" s="44" t="s">
        <v>91</v>
      </c>
      <c r="B47" s="32" t="s">
        <v>18</v>
      </c>
      <c r="C47" s="32" t="s">
        <v>91</v>
      </c>
      <c r="D47" s="32" t="s">
        <v>77</v>
      </c>
      <c r="E47" s="33" t="s">
        <v>41</v>
      </c>
      <c r="F47" s="34">
        <v>2</v>
      </c>
      <c r="G47" s="34" t="str">
        <f>_xlfn.CONCAT(A47,Tabla1[[#This Row],[ID SUBMODULO]],Tabla1[[#This Row],[ID INCREMENTAL]])</f>
        <v>CC2</v>
      </c>
      <c r="H47" s="32" t="s">
        <v>79</v>
      </c>
      <c r="I47" s="40"/>
    </row>
    <row r="48" spans="1:9" x14ac:dyDescent="0.25">
      <c r="A48" s="44" t="s">
        <v>91</v>
      </c>
      <c r="B48" s="32" t="s">
        <v>18</v>
      </c>
      <c r="C48" s="32" t="s">
        <v>91</v>
      </c>
      <c r="D48" s="32" t="s">
        <v>77</v>
      </c>
      <c r="E48" s="33" t="s">
        <v>43</v>
      </c>
      <c r="F48" s="34">
        <v>3</v>
      </c>
      <c r="G48" s="34" t="str">
        <f>_xlfn.CONCAT(A48,Tabla1[[#This Row],[ID SUBMODULO]],Tabla1[[#This Row],[ID INCREMENTAL]])</f>
        <v>CC3</v>
      </c>
      <c r="H48" s="32" t="s">
        <v>80</v>
      </c>
      <c r="I48" s="40"/>
    </row>
    <row r="49" spans="1:9" x14ac:dyDescent="0.25">
      <c r="A49" s="44" t="s">
        <v>91</v>
      </c>
      <c r="B49" s="32" t="s">
        <v>18</v>
      </c>
      <c r="C49" s="32" t="s">
        <v>91</v>
      </c>
      <c r="D49" s="32" t="s">
        <v>77</v>
      </c>
      <c r="E49" s="33" t="s">
        <v>44</v>
      </c>
      <c r="F49" s="34">
        <v>4</v>
      </c>
      <c r="G49" s="34" t="str">
        <f>_xlfn.CONCAT(A49,Tabla1[[#This Row],[ID SUBMODULO]],Tabla1[[#This Row],[ID INCREMENTAL]])</f>
        <v>CC4</v>
      </c>
      <c r="H49" s="32" t="s">
        <v>81</v>
      </c>
      <c r="I49" s="40"/>
    </row>
    <row r="50" spans="1:9" x14ac:dyDescent="0.25">
      <c r="A50" s="44" t="s">
        <v>91</v>
      </c>
      <c r="B50" s="32" t="s">
        <v>18</v>
      </c>
      <c r="C50" s="32" t="s">
        <v>91</v>
      </c>
      <c r="D50" s="32" t="s">
        <v>77</v>
      </c>
      <c r="E50" s="33" t="s">
        <v>42</v>
      </c>
      <c r="F50" s="34">
        <v>5</v>
      </c>
      <c r="G50" s="34" t="str">
        <f>_xlfn.CONCAT(A50,Tabla1[[#This Row],[ID SUBMODULO]],Tabla1[[#This Row],[ID INCREMENTAL]])</f>
        <v>CC5</v>
      </c>
      <c r="H50" s="32" t="s">
        <v>87</v>
      </c>
      <c r="I50" s="40"/>
    </row>
    <row r="51" spans="1:9" x14ac:dyDescent="0.25">
      <c r="A51" s="44" t="s">
        <v>91</v>
      </c>
      <c r="B51" s="32" t="s">
        <v>18</v>
      </c>
      <c r="C51" s="32" t="s">
        <v>91</v>
      </c>
      <c r="D51" s="32" t="s">
        <v>82</v>
      </c>
      <c r="E51" s="33" t="s">
        <v>42</v>
      </c>
      <c r="F51" s="34">
        <v>6</v>
      </c>
      <c r="G51" s="34" t="str">
        <f>_xlfn.CONCAT(A51,Tabla1[[#This Row],[ID SUBMODULO]],Tabla1[[#This Row],[ID INCREMENTAL]])</f>
        <v>CC6</v>
      </c>
      <c r="H51" s="32" t="s">
        <v>86</v>
      </c>
      <c r="I51" s="40"/>
    </row>
    <row r="52" spans="1:9" x14ac:dyDescent="0.25">
      <c r="A52" s="44" t="s">
        <v>91</v>
      </c>
      <c r="B52" s="32" t="s">
        <v>18</v>
      </c>
      <c r="C52" s="32" t="s">
        <v>91</v>
      </c>
      <c r="D52" s="32" t="s">
        <v>82</v>
      </c>
      <c r="E52" s="33" t="s">
        <v>39</v>
      </c>
      <c r="F52" s="34">
        <v>7</v>
      </c>
      <c r="G52" s="34" t="str">
        <f>_xlfn.CONCAT(A52,Tabla1[[#This Row],[ID SUBMODULO]],Tabla1[[#This Row],[ID INCREMENTAL]])</f>
        <v>CC7</v>
      </c>
      <c r="H52" s="32" t="s">
        <v>83</v>
      </c>
      <c r="I52" s="40"/>
    </row>
    <row r="53" spans="1:9" x14ac:dyDescent="0.25">
      <c r="A53" s="44" t="s">
        <v>91</v>
      </c>
      <c r="B53" s="32" t="s">
        <v>18</v>
      </c>
      <c r="C53" s="32" t="s">
        <v>91</v>
      </c>
      <c r="D53" s="32" t="s">
        <v>82</v>
      </c>
      <c r="E53" s="33" t="s">
        <v>41</v>
      </c>
      <c r="F53" s="34">
        <v>8</v>
      </c>
      <c r="G53" s="34" t="str">
        <f>_xlfn.CONCAT(A53,Tabla1[[#This Row],[ID SUBMODULO]],Tabla1[[#This Row],[ID INCREMENTAL]])</f>
        <v>CC8</v>
      </c>
      <c r="H53" s="32" t="s">
        <v>85</v>
      </c>
      <c r="I53" s="40"/>
    </row>
    <row r="54" spans="1:9" x14ac:dyDescent="0.25">
      <c r="A54" s="44" t="s">
        <v>91</v>
      </c>
      <c r="B54" s="32" t="s">
        <v>18</v>
      </c>
      <c r="C54" s="32" t="s">
        <v>91</v>
      </c>
      <c r="D54" s="32" t="s">
        <v>82</v>
      </c>
      <c r="E54" s="33" t="s">
        <v>43</v>
      </c>
      <c r="F54" s="34">
        <v>9</v>
      </c>
      <c r="G54" s="34" t="str">
        <f>_xlfn.CONCAT(A54,Tabla1[[#This Row],[ID SUBMODULO]],Tabla1[[#This Row],[ID INCREMENTAL]])</f>
        <v>CC9</v>
      </c>
      <c r="H54" s="32" t="s">
        <v>84</v>
      </c>
      <c r="I54" s="40"/>
    </row>
    <row r="55" spans="1:9" x14ac:dyDescent="0.25">
      <c r="A55" s="44"/>
    </row>
    <row r="56" spans="1:9" x14ac:dyDescent="0.25">
      <c r="A56" s="44"/>
    </row>
    <row r="57" spans="1:9" x14ac:dyDescent="0.25">
      <c r="A57" s="44"/>
    </row>
    <row r="58" spans="1:9" x14ac:dyDescent="0.25">
      <c r="A58" s="44"/>
    </row>
    <row r="59" spans="1:9" x14ac:dyDescent="0.25">
      <c r="A59" s="44"/>
    </row>
    <row r="60" spans="1:9" x14ac:dyDescent="0.25">
      <c r="A60" s="44"/>
    </row>
    <row r="61" spans="1:9" x14ac:dyDescent="0.25">
      <c r="A61" s="44"/>
    </row>
    <row r="62" spans="1:9" x14ac:dyDescent="0.25">
      <c r="A62" s="44"/>
    </row>
    <row r="63" spans="1:9" x14ac:dyDescent="0.25">
      <c r="A63" s="44"/>
    </row>
    <row r="64" spans="1:9" x14ac:dyDescent="0.25">
      <c r="A64" s="44"/>
    </row>
    <row r="65" spans="1:1" x14ac:dyDescent="0.25">
      <c r="A65" s="44"/>
    </row>
    <row r="66" spans="1:1" x14ac:dyDescent="0.25">
      <c r="A66" s="44"/>
    </row>
    <row r="67" spans="1:1" x14ac:dyDescent="0.25">
      <c r="A67" s="44"/>
    </row>
    <row r="68" spans="1:1" x14ac:dyDescent="0.25">
      <c r="A68" s="44"/>
    </row>
  </sheetData>
  <phoneticPr fontId="4" type="noConversion"/>
  <conditionalFormatting sqref="A2:G2 D15:E15 B15:C18 D16 D17:E17 D18 B13:E14 B46:B51 D46:E50 C46:C54 F34:G54 F31:F33 B3:G12 B19:E45 G23:G54 H2:H50 F13:G30 A3:A68">
    <cfRule type="expression" dxfId="7" priority="14">
      <formula>$E2="SUBMOD"</formula>
    </cfRule>
  </conditionalFormatting>
  <conditionalFormatting sqref="A2:G2 D15:E15 B15:C18 D16 D17:E17 D18 B13:E14 B46:B51 D46:E50 C46:C54 F34:G54 F31:F33 B3:G12 B19:E45 G23:G54 H2:H50 F13:G30 A3:A68">
    <cfRule type="expression" dxfId="6" priority="13">
      <formula>$E2="MOD"</formula>
    </cfRule>
  </conditionalFormatting>
  <conditionalFormatting sqref="G1:G1048576">
    <cfRule type="duplicateValues" dxfId="5" priority="23"/>
  </conditionalFormatting>
  <pageMargins left="0.25" right="0.25" top="0.26437500000000003" bottom="0.75" header="0.3" footer="0.3"/>
  <pageSetup scale="54" fitToHeight="0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7" id="{C7D2E0B1-0AB7-47EB-88B2-5DED856863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1"/>
              <x14:cfIcon iconSet="4RedToBlack" iconId="1"/>
              <x14:cfIcon iconSet="3Symbols" iconId="2"/>
            </x14:iconSet>
          </x14:cfRule>
          <xm:sqref>I2:I266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227F-AEBA-4C90-92BF-ED5DAF81335C}">
  <dimension ref="B2:K33"/>
  <sheetViews>
    <sheetView workbookViewId="0">
      <selection activeCell="L14" sqref="L14"/>
    </sheetView>
  </sheetViews>
  <sheetFormatPr baseColWidth="10" defaultRowHeight="15" x14ac:dyDescent="0.25"/>
  <cols>
    <col min="11" max="11" width="17" customWidth="1"/>
  </cols>
  <sheetData>
    <row r="2" spans="2:11" x14ac:dyDescent="0.25">
      <c r="B2" s="14" t="s">
        <v>90</v>
      </c>
      <c r="C2" s="3" t="s">
        <v>0</v>
      </c>
      <c r="D2" s="3" t="s">
        <v>90</v>
      </c>
      <c r="E2" s="3" t="s">
        <v>2</v>
      </c>
      <c r="F2" s="3" t="s">
        <v>20</v>
      </c>
      <c r="G2" s="2" t="s">
        <v>19</v>
      </c>
      <c r="H2" s="2" t="s">
        <v>93</v>
      </c>
      <c r="I2" s="3" t="s">
        <v>7</v>
      </c>
      <c r="J2" s="3" t="s">
        <v>1</v>
      </c>
      <c r="K2" s="3" t="s">
        <v>88</v>
      </c>
    </row>
    <row r="3" spans="2:11" x14ac:dyDescent="0.25">
      <c r="B3" s="6" t="s">
        <v>89</v>
      </c>
      <c r="C3" s="6" t="s">
        <v>4</v>
      </c>
      <c r="D3" s="6"/>
      <c r="E3" s="6"/>
      <c r="F3" s="11" t="s">
        <v>40</v>
      </c>
      <c r="G3" s="8"/>
      <c r="H3" s="8" t="str">
        <f>_xlfn.CONCAT(B3,Tabla1[[#This Row],[ID SUBMODULO]],Tabla1[[#This Row],[ID INCREMENTAL]])</f>
        <v>AA</v>
      </c>
      <c r="I3" s="10" t="s">
        <v>9</v>
      </c>
      <c r="J3" s="10" t="s">
        <v>22</v>
      </c>
      <c r="K3" s="20" t="b">
        <v>1</v>
      </c>
    </row>
    <row r="4" spans="2:11" x14ac:dyDescent="0.25">
      <c r="B4" s="6" t="s">
        <v>89</v>
      </c>
      <c r="C4" s="6" t="s">
        <v>4</v>
      </c>
      <c r="D4" s="6" t="s">
        <v>89</v>
      </c>
      <c r="E4" s="6" t="s">
        <v>3</v>
      </c>
      <c r="F4" s="11" t="s">
        <v>40</v>
      </c>
      <c r="G4" s="8"/>
      <c r="H4" s="8" t="str">
        <f>_xlfn.CONCAT(B4,Tabla1[[#This Row],[ID SUBMODULO]],Tabla1[[#This Row],[ID INCREMENTAL]])</f>
        <v>AA1</v>
      </c>
      <c r="I4" s="6" t="s">
        <v>46</v>
      </c>
      <c r="J4" s="6" t="s">
        <v>21</v>
      </c>
      <c r="K4" s="20" t="b">
        <v>0</v>
      </c>
    </row>
    <row r="5" spans="2:11" x14ac:dyDescent="0.25">
      <c r="B5" s="22" t="s">
        <v>89</v>
      </c>
      <c r="C5" s="22" t="s">
        <v>4</v>
      </c>
      <c r="D5" s="22" t="s">
        <v>89</v>
      </c>
      <c r="E5" s="22" t="s">
        <v>3</v>
      </c>
      <c r="F5" s="23" t="s">
        <v>39</v>
      </c>
      <c r="G5" s="24">
        <v>1</v>
      </c>
      <c r="H5" s="24" t="str">
        <f>_xlfn.CONCAT(B5,Tabla1[[#This Row],[ID SUBMODULO]],Tabla1[[#This Row],[ID INCREMENTAL]])</f>
        <v>AA2</v>
      </c>
      <c r="I5" s="22" t="s">
        <v>10</v>
      </c>
      <c r="J5" s="22" t="s">
        <v>10</v>
      </c>
      <c r="K5" s="25" t="b">
        <v>1</v>
      </c>
    </row>
    <row r="6" spans="2:11" x14ac:dyDescent="0.25">
      <c r="B6" s="22" t="s">
        <v>89</v>
      </c>
      <c r="C6" s="22" t="s">
        <v>4</v>
      </c>
      <c r="D6" s="22" t="s">
        <v>89</v>
      </c>
      <c r="E6" s="22" t="s">
        <v>3</v>
      </c>
      <c r="F6" s="26" t="s">
        <v>41</v>
      </c>
      <c r="G6" s="27">
        <v>2</v>
      </c>
      <c r="H6" s="28" t="str">
        <f>_xlfn.CONCAT(B6,Tabla1[[#This Row],[ID SUBMODULO]],Tabla1[[#This Row],[ID INCREMENTAL]])</f>
        <v>AA3</v>
      </c>
      <c r="I6" s="29" t="s">
        <v>32</v>
      </c>
      <c r="J6" s="22" t="s">
        <v>33</v>
      </c>
      <c r="K6" s="25" t="b">
        <v>1</v>
      </c>
    </row>
    <row r="7" spans="2:11" x14ac:dyDescent="0.25">
      <c r="B7" s="15" t="s">
        <v>89</v>
      </c>
      <c r="C7" s="15" t="s">
        <v>4</v>
      </c>
      <c r="D7" s="15" t="s">
        <v>94</v>
      </c>
      <c r="E7" s="15" t="s">
        <v>31</v>
      </c>
      <c r="F7" s="16" t="s">
        <v>42</v>
      </c>
      <c r="G7" s="17">
        <v>1</v>
      </c>
      <c r="H7" s="18" t="str">
        <f>_xlfn.CONCAT(B7,Tabla1[[#This Row],[ID SUBMODULO]],Tabla1[[#This Row],[ID INCREMENTAL]])</f>
        <v>AA5</v>
      </c>
      <c r="I7" s="19" t="s">
        <v>24</v>
      </c>
      <c r="J7" s="15" t="s">
        <v>23</v>
      </c>
      <c r="K7" s="20" t="b">
        <v>1</v>
      </c>
    </row>
    <row r="8" spans="2:11" x14ac:dyDescent="0.25">
      <c r="B8" s="15" t="s">
        <v>89</v>
      </c>
      <c r="C8" s="15" t="s">
        <v>4</v>
      </c>
      <c r="D8" s="15" t="s">
        <v>94</v>
      </c>
      <c r="E8" s="15" t="s">
        <v>31</v>
      </c>
      <c r="F8" s="16" t="s">
        <v>41</v>
      </c>
      <c r="G8" s="17">
        <v>2</v>
      </c>
      <c r="H8" s="18" t="str">
        <f>_xlfn.CONCAT(B8,Tabla1[[#This Row],[ID SUBMODULO]],Tabla1[[#This Row],[ID INCREMENTAL]])</f>
        <v>AA6</v>
      </c>
      <c r="I8" s="19" t="s">
        <v>25</v>
      </c>
      <c r="J8" s="15" t="s">
        <v>26</v>
      </c>
      <c r="K8" s="20" t="b">
        <v>1</v>
      </c>
    </row>
    <row r="9" spans="2:11" x14ac:dyDescent="0.25">
      <c r="B9" s="15" t="s">
        <v>89</v>
      </c>
      <c r="C9" s="15" t="s">
        <v>4</v>
      </c>
      <c r="D9" s="15" t="s">
        <v>94</v>
      </c>
      <c r="E9" s="15" t="s">
        <v>31</v>
      </c>
      <c r="F9" s="16" t="s">
        <v>43</v>
      </c>
      <c r="G9" s="17">
        <v>3</v>
      </c>
      <c r="H9" s="18" t="str">
        <f>_xlfn.CONCAT(B9,Tabla1[[#This Row],[ID SUBMODULO]],Tabla1[[#This Row],[ID INCREMENTAL]])</f>
        <v>AB</v>
      </c>
      <c r="I9" s="19" t="s">
        <v>27</v>
      </c>
      <c r="J9" s="15" t="s">
        <v>28</v>
      </c>
      <c r="K9" s="20" t="b">
        <v>1</v>
      </c>
    </row>
    <row r="10" spans="2:11" x14ac:dyDescent="0.25">
      <c r="B10" s="15" t="s">
        <v>89</v>
      </c>
      <c r="C10" s="15" t="s">
        <v>4</v>
      </c>
      <c r="D10" s="15" t="s">
        <v>94</v>
      </c>
      <c r="E10" s="15" t="s">
        <v>31</v>
      </c>
      <c r="F10" s="16" t="s">
        <v>41</v>
      </c>
      <c r="G10" s="17">
        <v>4</v>
      </c>
      <c r="H10" s="18" t="str">
        <f>_xlfn.CONCAT(B10,Tabla1[[#This Row],[ID SUBMODULO]],Tabla1[[#This Row],[ID INCREMENTAL]])</f>
        <v>AB2</v>
      </c>
      <c r="I10" s="19" t="s">
        <v>29</v>
      </c>
      <c r="J10" s="15" t="s">
        <v>30</v>
      </c>
      <c r="K10" s="20" t="b">
        <v>1</v>
      </c>
    </row>
    <row r="11" spans="2:11" x14ac:dyDescent="0.25">
      <c r="B11" s="22" t="s">
        <v>89</v>
      </c>
      <c r="C11" s="22" t="s">
        <v>4</v>
      </c>
      <c r="D11" s="22" t="s">
        <v>89</v>
      </c>
      <c r="E11" s="22" t="s">
        <v>3</v>
      </c>
      <c r="F11" s="23" t="s">
        <v>43</v>
      </c>
      <c r="G11" s="24">
        <v>3</v>
      </c>
      <c r="H11" s="24" t="str">
        <f>_xlfn.CONCAT(B11,Tabla1[[#This Row],[ID SUBMODULO]],Tabla1[[#This Row],[ID INCREMENTAL]])</f>
        <v>AB3</v>
      </c>
      <c r="I11" s="22" t="s">
        <v>5</v>
      </c>
      <c r="J11" s="22" t="s">
        <v>5</v>
      </c>
      <c r="K11" s="25" t="b">
        <v>1</v>
      </c>
    </row>
    <row r="12" spans="2:11" x14ac:dyDescent="0.25">
      <c r="B12" s="22" t="s">
        <v>89</v>
      </c>
      <c r="C12" s="22" t="s">
        <v>4</v>
      </c>
      <c r="D12" s="22" t="s">
        <v>89</v>
      </c>
      <c r="E12" s="22" t="s">
        <v>3</v>
      </c>
      <c r="F12" s="23" t="s">
        <v>39</v>
      </c>
      <c r="G12" s="24">
        <v>4</v>
      </c>
      <c r="H12" s="24" t="str">
        <f>_xlfn.CONCAT(B12,Tabla1[[#This Row],[ID SUBMODULO]],Tabla1[[#This Row],[ID INCREMENTAL]])</f>
        <v>AB4</v>
      </c>
      <c r="I12" s="22" t="s">
        <v>6</v>
      </c>
      <c r="J12" s="22" t="s">
        <v>6</v>
      </c>
      <c r="K12" s="25" t="b">
        <v>0</v>
      </c>
    </row>
    <row r="13" spans="2:11" x14ac:dyDescent="0.25">
      <c r="B13" s="6" t="s">
        <v>94</v>
      </c>
      <c r="C13" s="6" t="s">
        <v>8</v>
      </c>
      <c r="D13" s="6"/>
      <c r="E13" s="6"/>
      <c r="F13" s="11" t="s">
        <v>40</v>
      </c>
      <c r="G13" s="8"/>
      <c r="H13" s="8" t="str">
        <f>_xlfn.CONCAT(B13,Tabla1[[#This Row],[ID SUBMODULO]],Tabla1[[#This Row],[ID INCREMENTAL]])</f>
        <v>B</v>
      </c>
      <c r="I13" s="6" t="s">
        <v>9</v>
      </c>
      <c r="J13" s="6" t="s">
        <v>22</v>
      </c>
      <c r="K13" s="20" t="b">
        <v>1</v>
      </c>
    </row>
    <row r="14" spans="2:11" x14ac:dyDescent="0.25">
      <c r="B14" s="6" t="s">
        <v>94</v>
      </c>
      <c r="C14" s="6" t="s">
        <v>8</v>
      </c>
      <c r="D14" s="6" t="s">
        <v>89</v>
      </c>
      <c r="E14" s="6" t="s">
        <v>11</v>
      </c>
      <c r="F14" s="11" t="s">
        <v>40</v>
      </c>
      <c r="G14" s="8"/>
      <c r="H14" s="8" t="str">
        <f>_xlfn.CONCAT(B14,Tabla1[[#This Row],[ID SUBMODULO]],Tabla1[[#This Row],[ID INCREMENTAL]])</f>
        <v>BA</v>
      </c>
      <c r="I14" s="6" t="s">
        <v>46</v>
      </c>
      <c r="J14" s="6" t="s">
        <v>21</v>
      </c>
      <c r="K14" s="20" t="b">
        <v>1</v>
      </c>
    </row>
    <row r="15" spans="2:11" x14ac:dyDescent="0.25">
      <c r="B15" s="6" t="s">
        <v>94</v>
      </c>
      <c r="C15" s="6" t="s">
        <v>8</v>
      </c>
      <c r="D15" s="6" t="s">
        <v>89</v>
      </c>
      <c r="E15" s="6" t="s">
        <v>11</v>
      </c>
      <c r="F15" s="11" t="s">
        <v>39</v>
      </c>
      <c r="G15" s="8">
        <v>1</v>
      </c>
      <c r="H15" s="8" t="str">
        <f>_xlfn.CONCAT(B15,Tabla1[[#This Row],[ID SUBMODULO]],Tabla1[[#This Row],[ID INCREMENTAL]])</f>
        <v>BA1</v>
      </c>
      <c r="I15" s="6" t="s">
        <v>13</v>
      </c>
      <c r="J15" s="6" t="s">
        <v>14</v>
      </c>
      <c r="K15" s="20" t="b">
        <v>1</v>
      </c>
    </row>
    <row r="16" spans="2:11" x14ac:dyDescent="0.25">
      <c r="B16" s="6" t="s">
        <v>94</v>
      </c>
      <c r="C16" s="6" t="s">
        <v>8</v>
      </c>
      <c r="D16" s="6" t="s">
        <v>89</v>
      </c>
      <c r="E16" s="6" t="s">
        <v>11</v>
      </c>
      <c r="F16" s="21" t="s">
        <v>39</v>
      </c>
      <c r="G16" s="8">
        <v>2</v>
      </c>
      <c r="H16" s="8" t="str">
        <f>_xlfn.CONCAT(B16,Tabla1[[#This Row],[ID SUBMODULO]],Tabla1[[#This Row],[ID INCREMENTAL]])</f>
        <v>BA2</v>
      </c>
      <c r="I16" s="9" t="s">
        <v>57</v>
      </c>
      <c r="J16" s="6" t="s">
        <v>58</v>
      </c>
      <c r="K16" s="20" t="b">
        <v>1</v>
      </c>
    </row>
    <row r="17" spans="2:11" x14ac:dyDescent="0.25">
      <c r="B17" s="6" t="s">
        <v>94</v>
      </c>
      <c r="C17" s="6" t="s">
        <v>8</v>
      </c>
      <c r="D17" s="6" t="s">
        <v>89</v>
      </c>
      <c r="E17" s="6" t="s">
        <v>11</v>
      </c>
      <c r="F17" s="12" t="s">
        <v>45</v>
      </c>
      <c r="G17" s="8">
        <v>3</v>
      </c>
      <c r="H17" s="8" t="str">
        <f>_xlfn.CONCAT(B17,Tabla1[[#This Row],[ID SUBMODULO]],Tabla1[[#This Row],[ID INCREMENTAL]])</f>
        <v>BA3</v>
      </c>
      <c r="I17" s="9" t="s">
        <v>34</v>
      </c>
      <c r="J17" s="6" t="s">
        <v>35</v>
      </c>
      <c r="K17" s="20" t="b">
        <v>1</v>
      </c>
    </row>
    <row r="18" spans="2:11" x14ac:dyDescent="0.25">
      <c r="B18" s="6" t="s">
        <v>94</v>
      </c>
      <c r="C18" s="6" t="s">
        <v>8</v>
      </c>
      <c r="D18" s="6" t="s">
        <v>89</v>
      </c>
      <c r="E18" s="6" t="s">
        <v>11</v>
      </c>
      <c r="F18" s="21" t="s">
        <v>44</v>
      </c>
      <c r="G18" s="8">
        <v>4</v>
      </c>
      <c r="H18" s="8" t="str">
        <f>_xlfn.CONCAT(B18,Tabla1[[#This Row],[ID SUBMODULO]],Tabla1[[#This Row],[ID INCREMENTAL]])</f>
        <v>BA4</v>
      </c>
      <c r="I18" s="6" t="s">
        <v>15</v>
      </c>
      <c r="J18" s="6" t="s">
        <v>16</v>
      </c>
      <c r="K18" s="20" t="b">
        <v>1</v>
      </c>
    </row>
    <row r="19" spans="2:11" x14ac:dyDescent="0.25">
      <c r="B19" s="6" t="s">
        <v>94</v>
      </c>
      <c r="C19" s="6" t="s">
        <v>8</v>
      </c>
      <c r="D19" s="6" t="s">
        <v>94</v>
      </c>
      <c r="E19" s="6" t="s">
        <v>12</v>
      </c>
      <c r="F19" s="11" t="s">
        <v>40</v>
      </c>
      <c r="G19" s="8"/>
      <c r="H19" s="8" t="str">
        <f>_xlfn.CONCAT(B19,Tabla1[[#This Row],[ID SUBMODULO]],Tabla1[[#This Row],[ID INCREMENTAL]])</f>
        <v>BB</v>
      </c>
      <c r="I19" s="6" t="s">
        <v>46</v>
      </c>
      <c r="J19" s="6" t="s">
        <v>21</v>
      </c>
      <c r="K19" s="20" t="b">
        <v>1</v>
      </c>
    </row>
    <row r="20" spans="2:11" x14ac:dyDescent="0.25">
      <c r="B20" s="6" t="s">
        <v>94</v>
      </c>
      <c r="C20" s="6" t="s">
        <v>8</v>
      </c>
      <c r="D20" s="6" t="s">
        <v>94</v>
      </c>
      <c r="E20" s="6" t="s">
        <v>12</v>
      </c>
      <c r="F20" s="11" t="s">
        <v>39</v>
      </c>
      <c r="G20" s="8">
        <v>1</v>
      </c>
      <c r="H20" s="8" t="str">
        <f>_xlfn.CONCAT(B20,Tabla1[[#This Row],[ID SUBMODULO]],Tabla1[[#This Row],[ID INCREMENTAL]])</f>
        <v>BB1</v>
      </c>
      <c r="I20" s="6" t="s">
        <v>13</v>
      </c>
      <c r="J20" s="6" t="s">
        <v>14</v>
      </c>
      <c r="K20" s="20" t="b">
        <v>1</v>
      </c>
    </row>
    <row r="21" spans="2:11" x14ac:dyDescent="0.25">
      <c r="B21" s="6" t="s">
        <v>94</v>
      </c>
      <c r="C21" s="6" t="s">
        <v>8</v>
      </c>
      <c r="D21" s="6" t="s">
        <v>94</v>
      </c>
      <c r="E21" s="6" t="s">
        <v>12</v>
      </c>
      <c r="F21" s="11" t="s">
        <v>44</v>
      </c>
      <c r="G21" s="8">
        <v>2</v>
      </c>
      <c r="H21" s="8" t="str">
        <f>_xlfn.CONCAT(B21,Tabla1[[#This Row],[ID SUBMODULO]],Tabla1[[#This Row],[ID INCREMENTAL]])</f>
        <v>BB2</v>
      </c>
      <c r="I21" s="6" t="s">
        <v>36</v>
      </c>
      <c r="J21" s="6" t="s">
        <v>16</v>
      </c>
      <c r="K21" s="20" t="b">
        <v>1</v>
      </c>
    </row>
    <row r="22" spans="2:11" x14ac:dyDescent="0.25">
      <c r="B22" s="6" t="s">
        <v>94</v>
      </c>
      <c r="C22" s="6" t="s">
        <v>8</v>
      </c>
      <c r="D22" s="6" t="s">
        <v>94</v>
      </c>
      <c r="E22" s="6" t="s">
        <v>12</v>
      </c>
      <c r="F22" s="11" t="s">
        <v>45</v>
      </c>
      <c r="G22" s="8">
        <v>3</v>
      </c>
      <c r="H22" s="8" t="str">
        <f>_xlfn.CONCAT(B22,Tabla1[[#This Row],[ID SUBMODULO]],Tabla1[[#This Row],[ID INCREMENTAL]])</f>
        <v>BB3</v>
      </c>
      <c r="I22" s="6" t="s">
        <v>37</v>
      </c>
      <c r="J22" s="6" t="s">
        <v>38</v>
      </c>
      <c r="K22" s="20" t="b">
        <v>1</v>
      </c>
    </row>
    <row r="23" spans="2:11" x14ac:dyDescent="0.25">
      <c r="B23" s="6" t="s">
        <v>94</v>
      </c>
      <c r="C23" s="6" t="s">
        <v>8</v>
      </c>
      <c r="D23" s="6" t="s">
        <v>91</v>
      </c>
      <c r="E23" s="6" t="s">
        <v>17</v>
      </c>
      <c r="F23" s="11" t="s">
        <v>40</v>
      </c>
      <c r="G23" s="8"/>
      <c r="H23" s="8" t="str">
        <f>_xlfn.CONCAT(B23,Tabla1[[#This Row],[ID SUBMODULO]],Tabla1[[#This Row],[ID INCREMENTAL]])</f>
        <v>BC</v>
      </c>
      <c r="I23" s="6" t="s">
        <v>46</v>
      </c>
      <c r="J23" s="6" t="s">
        <v>21</v>
      </c>
      <c r="K23" s="20" t="b">
        <v>1</v>
      </c>
    </row>
    <row r="24" spans="2:11" x14ac:dyDescent="0.25">
      <c r="B24" s="6" t="s">
        <v>94</v>
      </c>
      <c r="C24" s="6" t="s">
        <v>8</v>
      </c>
      <c r="D24" s="6" t="s">
        <v>91</v>
      </c>
      <c r="E24" s="6" t="s">
        <v>17</v>
      </c>
      <c r="F24" s="11" t="s">
        <v>39</v>
      </c>
      <c r="G24" s="8">
        <v>1</v>
      </c>
      <c r="H24" s="8" t="str">
        <f>_xlfn.CONCAT(B24,Tabla1[[#This Row],[ID SUBMODULO]],Tabla1[[#This Row],[ID INCREMENTAL]])</f>
        <v>BC1</v>
      </c>
      <c r="I24" s="6" t="s">
        <v>47</v>
      </c>
      <c r="J24" s="6" t="s">
        <v>48</v>
      </c>
      <c r="K24" s="20" t="b">
        <v>1</v>
      </c>
    </row>
    <row r="25" spans="2:11" x14ac:dyDescent="0.25">
      <c r="B25" s="6" t="s">
        <v>94</v>
      </c>
      <c r="C25" s="6" t="s">
        <v>8</v>
      </c>
      <c r="D25" s="6" t="s">
        <v>91</v>
      </c>
      <c r="E25" s="6" t="s">
        <v>17</v>
      </c>
      <c r="F25" s="11" t="s">
        <v>41</v>
      </c>
      <c r="G25" s="8">
        <v>2</v>
      </c>
      <c r="H25" s="8" t="str">
        <f>_xlfn.CONCAT(B25,Tabla1[[#This Row],[ID SUBMODULO]],Tabla1[[#This Row],[ID INCREMENTAL]])</f>
        <v>BC2</v>
      </c>
      <c r="I25" s="6" t="s">
        <v>49</v>
      </c>
      <c r="J25" s="6" t="s">
        <v>50</v>
      </c>
      <c r="K25" s="20" t="b">
        <v>1</v>
      </c>
    </row>
    <row r="26" spans="2:11" x14ac:dyDescent="0.25">
      <c r="B26" s="6" t="s">
        <v>94</v>
      </c>
      <c r="C26" s="6" t="s">
        <v>8</v>
      </c>
      <c r="D26" s="6" t="s">
        <v>91</v>
      </c>
      <c r="E26" s="6" t="s">
        <v>17</v>
      </c>
      <c r="F26" s="11" t="s">
        <v>41</v>
      </c>
      <c r="G26" s="8">
        <v>3</v>
      </c>
      <c r="H26" s="8" t="str">
        <f>_xlfn.CONCAT(B26,Tabla1[[#This Row],[ID SUBMODULO]],Tabla1[[#This Row],[ID INCREMENTAL]])</f>
        <v>BC3</v>
      </c>
      <c r="I26" s="6" t="s">
        <v>51</v>
      </c>
      <c r="J26" s="6" t="s">
        <v>52</v>
      </c>
      <c r="K26" s="20" t="b">
        <v>1</v>
      </c>
    </row>
    <row r="27" spans="2:11" x14ac:dyDescent="0.25">
      <c r="B27" s="6" t="s">
        <v>94</v>
      </c>
      <c r="C27" s="6" t="s">
        <v>8</v>
      </c>
      <c r="D27" s="6" t="s">
        <v>91</v>
      </c>
      <c r="E27" s="6" t="s">
        <v>17</v>
      </c>
      <c r="F27" s="11" t="s">
        <v>41</v>
      </c>
      <c r="G27" s="8">
        <v>4</v>
      </c>
      <c r="H27" s="8" t="str">
        <f>_xlfn.CONCAT(B27,Tabla1[[#This Row],[ID SUBMODULO]],Tabla1[[#This Row],[ID INCREMENTAL]])</f>
        <v>BC4</v>
      </c>
      <c r="I27" s="6" t="s">
        <v>53</v>
      </c>
      <c r="J27" s="6" t="s">
        <v>54</v>
      </c>
      <c r="K27" s="20" t="b">
        <v>1</v>
      </c>
    </row>
    <row r="28" spans="2:11" x14ac:dyDescent="0.25">
      <c r="B28" s="6" t="s">
        <v>94</v>
      </c>
      <c r="C28" s="6" t="s">
        <v>8</v>
      </c>
      <c r="D28" s="6" t="s">
        <v>91</v>
      </c>
      <c r="E28" s="6" t="s">
        <v>17</v>
      </c>
      <c r="F28" s="11" t="s">
        <v>39</v>
      </c>
      <c r="G28" s="8">
        <v>5</v>
      </c>
      <c r="H28" s="8" t="str">
        <f>_xlfn.CONCAT(B28,Tabla1[[#This Row],[ID SUBMODULO]],Tabla1[[#This Row],[ID INCREMENTAL]])</f>
        <v>BC5</v>
      </c>
      <c r="I28" s="6" t="s">
        <v>55</v>
      </c>
      <c r="J28" s="6" t="s">
        <v>56</v>
      </c>
      <c r="K28" s="20" t="b">
        <v>1</v>
      </c>
    </row>
    <row r="29" spans="2:11" x14ac:dyDescent="0.25">
      <c r="B29" s="6" t="s">
        <v>94</v>
      </c>
      <c r="C29" s="6" t="s">
        <v>8</v>
      </c>
      <c r="D29" s="6" t="s">
        <v>92</v>
      </c>
      <c r="E29" s="6" t="s">
        <v>59</v>
      </c>
      <c r="F29" s="12" t="s">
        <v>40</v>
      </c>
      <c r="G29" s="7"/>
      <c r="H29" s="8" t="str">
        <f>_xlfn.CONCAT(B29,Tabla1[[#This Row],[ID SUBMODULO]],Tabla1[[#This Row],[ID INCREMENTAL]])</f>
        <v>BD</v>
      </c>
      <c r="I29" s="9" t="s">
        <v>46</v>
      </c>
      <c r="J29" s="6" t="s">
        <v>21</v>
      </c>
      <c r="K29" s="20" t="b">
        <v>1</v>
      </c>
    </row>
    <row r="30" spans="2:11" x14ac:dyDescent="0.25">
      <c r="B30" s="6" t="s">
        <v>94</v>
      </c>
      <c r="C30" s="6" t="s">
        <v>8</v>
      </c>
      <c r="D30" s="6" t="s">
        <v>92</v>
      </c>
      <c r="E30" s="6" t="s">
        <v>59</v>
      </c>
      <c r="F30" s="12" t="s">
        <v>39</v>
      </c>
      <c r="G30" s="7">
        <f>ROW()-2</f>
        <v>28</v>
      </c>
      <c r="H30" s="8" t="str">
        <f>_xlfn.CONCAT(B30,Tabla1[[#This Row],[ID SUBMODULO]],Tabla1[[#This Row],[ID INCREMENTAL]])</f>
        <v>BD1</v>
      </c>
      <c r="I30" s="9" t="s">
        <v>60</v>
      </c>
      <c r="J30" s="6" t="s">
        <v>61</v>
      </c>
      <c r="K30" s="20" t="b">
        <v>1</v>
      </c>
    </row>
    <row r="31" spans="2:11" x14ac:dyDescent="0.25">
      <c r="B31" s="6" t="s">
        <v>94</v>
      </c>
      <c r="C31" s="6" t="s">
        <v>8</v>
      </c>
      <c r="D31" s="6" t="s">
        <v>92</v>
      </c>
      <c r="E31" s="6" t="s">
        <v>59</v>
      </c>
      <c r="F31" s="11" t="s">
        <v>44</v>
      </c>
      <c r="G31" s="8">
        <f>ROW()-2</f>
        <v>29</v>
      </c>
      <c r="H31" s="8" t="str">
        <f>_xlfn.CONCAT(B31,Tabla1[[#This Row],[ID SUBMODULO]],Tabla1[[#This Row],[ID INCREMENTAL]])</f>
        <v>BD2</v>
      </c>
      <c r="I31" s="6" t="s">
        <v>36</v>
      </c>
      <c r="J31" s="6" t="s">
        <v>16</v>
      </c>
      <c r="K31" s="20" t="b">
        <v>1</v>
      </c>
    </row>
    <row r="32" spans="2:11" x14ac:dyDescent="0.25">
      <c r="B32" s="6" t="s">
        <v>94</v>
      </c>
      <c r="C32" s="6" t="s">
        <v>8</v>
      </c>
      <c r="D32" s="6" t="s">
        <v>92</v>
      </c>
      <c r="E32" s="6" t="s">
        <v>59</v>
      </c>
      <c r="F32" s="12" t="s">
        <v>45</v>
      </c>
      <c r="G32" s="7">
        <f>ROW()-2</f>
        <v>30</v>
      </c>
      <c r="H32" s="8" t="str">
        <f>_xlfn.CONCAT(B32,Tabla1[[#This Row],[ID SUBMODULO]],Tabla1[[#This Row],[ID INCREMENTAL]])</f>
        <v>BD3</v>
      </c>
      <c r="I32" s="9" t="s">
        <v>62</v>
      </c>
      <c r="J32" s="6" t="s">
        <v>63</v>
      </c>
      <c r="K32" s="20" t="b">
        <v>1</v>
      </c>
    </row>
    <row r="33" spans="2:11" x14ac:dyDescent="0.25">
      <c r="B33" s="6" t="s">
        <v>94</v>
      </c>
      <c r="C33" s="6" t="s">
        <v>8</v>
      </c>
      <c r="D33" s="6" t="s">
        <v>92</v>
      </c>
      <c r="E33" s="6" t="s">
        <v>66</v>
      </c>
      <c r="F33" s="12" t="s">
        <v>40</v>
      </c>
      <c r="G33" s="7">
        <f>ROW()-2</f>
        <v>31</v>
      </c>
      <c r="H33" s="8" t="str">
        <f>_xlfn.CONCAT(B33,Tabla1[[#This Row],[ID SUBMODULO]],Tabla1[[#This Row],[ID INCREMENTAL]])</f>
        <v>BD4</v>
      </c>
      <c r="I33" s="9" t="s">
        <v>64</v>
      </c>
      <c r="J33" s="6" t="s">
        <v>65</v>
      </c>
      <c r="K33" s="20" t="b">
        <v>1</v>
      </c>
    </row>
  </sheetData>
  <autoFilter ref="B2:K33" xr:uid="{C791227F-AEBA-4C90-92BF-ED5DAF81335C}">
    <sortState xmlns:xlrd2="http://schemas.microsoft.com/office/spreadsheetml/2017/richdata2" ref="B3:K33">
      <sortCondition ref="C2:C33"/>
    </sortState>
  </autoFilter>
  <conditionalFormatting sqref="B4:B33">
    <cfRule type="expression" dxfId="4" priority="2">
      <formula>$I4="Acceso al submódulo"</formula>
    </cfRule>
    <cfRule type="expression" dxfId="3" priority="3">
      <formula>$I4="Acceso al módulo"</formula>
    </cfRule>
  </conditionalFormatting>
  <conditionalFormatting sqref="B3:J3 C4:F14 G4:J30 E15:F15 C15:D18 E16 E17:F17 E18 C19:F29 E30:F30 C30:D33 E31:J33">
    <cfRule type="expression" dxfId="2" priority="5">
      <formula>$I3="Acceso al módulo"</formula>
    </cfRule>
  </conditionalFormatting>
  <conditionalFormatting sqref="B3:J3 G4:J30 C4:F14 E15:F15 C15:D18 E16 E17:F17 E18 C19:F29 E30:F30 C30:D33 E31:J33">
    <cfRule type="expression" dxfId="1" priority="4">
      <formula>$I3="Acceso al submódulo"</formula>
    </cfRule>
  </conditionalFormatting>
  <conditionalFormatting sqref="H2:H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exon</dc:creator>
  <cp:lastModifiedBy>exon</cp:lastModifiedBy>
  <cp:lastPrinted>2025-11-21T03:08:19Z</cp:lastPrinted>
  <dcterms:created xsi:type="dcterms:W3CDTF">2025-10-27T14:23:10Z</dcterms:created>
  <dcterms:modified xsi:type="dcterms:W3CDTF">2025-11-22T22:47:56Z</dcterms:modified>
</cp:coreProperties>
</file>